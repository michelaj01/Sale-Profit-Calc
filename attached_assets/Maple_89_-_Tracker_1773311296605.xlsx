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bwga9547/Downloads/"/>
    </mc:Choice>
  </mc:AlternateContent>
  <xr:revisionPtr revIDLastSave="0" documentId="13_ncr:1_{B891CC06-E6B8-5847-8D10-A3139C392369}" xr6:coauthVersionLast="47" xr6:coauthVersionMax="47" xr10:uidLastSave="{00000000-0000-0000-0000-000000000000}"/>
  <bookViews>
    <workbookView xWindow="0" yWindow="680" windowWidth="29400" windowHeight="17240" xr2:uid="{772B1B5E-C0D0-D84C-98A9-E304C9D9C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5" i="1"/>
  <c r="B34" i="1"/>
  <c r="B33" i="1"/>
  <c r="B31" i="1"/>
  <c r="B32" i="1"/>
  <c r="B26" i="1"/>
  <c r="B5" i="1"/>
  <c r="B6" i="1"/>
  <c r="B7" i="1" s="1"/>
  <c r="B11" i="1"/>
  <c r="B10" i="1"/>
  <c r="B13" i="1"/>
  <c r="B36" i="1" l="1"/>
  <c r="B38" i="1"/>
  <c r="B37" i="1"/>
  <c r="B16" i="1"/>
</calcChain>
</file>

<file path=xl/sharedStrings.xml><?xml version="1.0" encoding="utf-8"?>
<sst xmlns="http://schemas.openxmlformats.org/spreadsheetml/2006/main" count="30" uniqueCount="30">
  <si>
    <t>Trustee Fee</t>
  </si>
  <si>
    <t>Mortgage Registration Fee</t>
  </si>
  <si>
    <t>Emaar NOC Fee</t>
  </si>
  <si>
    <t>DLD Fee</t>
  </si>
  <si>
    <t>Agency Fee</t>
  </si>
  <si>
    <t xml:space="preserve">Down Payment </t>
  </si>
  <si>
    <t>Bank Processing Fee</t>
  </si>
  <si>
    <t>Property Valuation by bank</t>
  </si>
  <si>
    <t>Valuation Fee</t>
  </si>
  <si>
    <t xml:space="preserve">Gap Payment to Seller </t>
  </si>
  <si>
    <t>MOU Price</t>
  </si>
  <si>
    <t>Actual Price</t>
  </si>
  <si>
    <t xml:space="preserve">Provision for Service Fee </t>
  </si>
  <si>
    <t>TOTAL INVESTMENT SPEND</t>
  </si>
  <si>
    <t>Main Contractor</t>
  </si>
  <si>
    <t xml:space="preserve">Kitchen Contractor </t>
  </si>
  <si>
    <t xml:space="preserve">Materials </t>
  </si>
  <si>
    <t xml:space="preserve">Appliances </t>
  </si>
  <si>
    <t>Furniture</t>
  </si>
  <si>
    <t>Landscaping Base</t>
  </si>
  <si>
    <t xml:space="preserve">Landscaping Re-Occuring </t>
  </si>
  <si>
    <t>Profit Projection</t>
  </si>
  <si>
    <t xml:space="preserve">Reno Breakdown </t>
  </si>
  <si>
    <t xml:space="preserve">Investment Breakdown </t>
  </si>
  <si>
    <t>TOTAL SPEND</t>
  </si>
  <si>
    <t xml:space="preserve">Property Name: </t>
  </si>
  <si>
    <t>Maple V89</t>
  </si>
  <si>
    <t xml:space="preserve">Potential Sale Price </t>
  </si>
  <si>
    <t>Profit</t>
  </si>
  <si>
    <t>Acquisition + Reno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</si>
</sst>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&quot;AED&quot;#,##0"/>
    <numFmt numFmtId="166" formatCode="&quot;AED&quot;\ #,##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166" fontId="0" fillId="0" borderId="1" xfId="0" applyNumberFormat="1" applyBorder="1"/>
    <xf numFmtId="166" fontId="0" fillId="0" borderId="1" xfId="1" applyNumberFormat="1" applyFont="1" applyBorder="1"/>
    <xf numFmtId="166" fontId="2" fillId="2" borderId="1" xfId="0" applyNumberFormat="1" applyFont="1" applyFill="1" applyBorder="1"/>
    <xf numFmtId="166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7BA4-4F2E-284C-9896-8BBF24BC236A}">
  <dimension ref="A1:D38"/>
  <sheetViews>
    <sheetView tabSelected="1" topLeftCell="A17" zoomScale="248" workbookViewId="0">
      <selection activeCell="A30" sqref="A30"/>
    </sheetView>
  </sheetViews>
  <sheetFormatPr baseColWidth="10" defaultRowHeight="16" x14ac:dyDescent="0.2"/>
  <cols>
    <col min="1" max="1" width="23.6640625" bestFit="1" customWidth="1"/>
    <col min="2" max="2" width="15.1640625" bestFit="1" customWidth="1"/>
    <col min="3" max="3" width="13.1640625" bestFit="1" customWidth="1"/>
    <col min="4" max="4" width="12.1640625" bestFit="1" customWidth="1"/>
  </cols>
  <sheetData>
    <row r="1" spans="1:4" x14ac:dyDescent="0.2">
      <c r="A1" t="s">
        <v>25</v>
      </c>
      <c r="B1" t="s">
        <v>26</v>
      </c>
    </row>
    <row r="2" spans="1:4" x14ac:dyDescent="0.2">
      <c r="A2" s="14" t="s">
        <v>23</v>
      </c>
      <c r="B2" s="14"/>
    </row>
    <row r="3" spans="1:4" x14ac:dyDescent="0.2">
      <c r="A3" s="4" t="s">
        <v>11</v>
      </c>
      <c r="B3" s="6">
        <v>5150000</v>
      </c>
    </row>
    <row r="4" spans="1:4" x14ac:dyDescent="0.2">
      <c r="A4" s="4" t="s">
        <v>10</v>
      </c>
      <c r="B4" s="6">
        <v>4990000</v>
      </c>
    </row>
    <row r="5" spans="1:4" x14ac:dyDescent="0.2">
      <c r="A5" s="4" t="s">
        <v>9</v>
      </c>
      <c r="B5" s="6">
        <f>B3-B8</f>
        <v>200000</v>
      </c>
    </row>
    <row r="6" spans="1:4" x14ac:dyDescent="0.2">
      <c r="A6" s="4" t="s">
        <v>5</v>
      </c>
      <c r="B6" s="6">
        <f>B8*20%</f>
        <v>990000</v>
      </c>
    </row>
    <row r="7" spans="1:4" x14ac:dyDescent="0.2">
      <c r="A7" s="4" t="s">
        <v>6</v>
      </c>
      <c r="B7" s="6">
        <f>(B8-B6)*0.25%*1.05</f>
        <v>10395</v>
      </c>
      <c r="D7" s="1"/>
    </row>
    <row r="8" spans="1:4" x14ac:dyDescent="0.2">
      <c r="A8" s="4" t="s">
        <v>7</v>
      </c>
      <c r="B8" s="6">
        <v>4950000</v>
      </c>
    </row>
    <row r="9" spans="1:4" x14ac:dyDescent="0.2">
      <c r="A9" s="4" t="s">
        <v>8</v>
      </c>
      <c r="B9" s="6">
        <v>3150</v>
      </c>
    </row>
    <row r="10" spans="1:4" x14ac:dyDescent="0.2">
      <c r="A10" s="4" t="s">
        <v>3</v>
      </c>
      <c r="B10" s="7">
        <f>B4*4%</f>
        <v>199600</v>
      </c>
      <c r="C10" s="2"/>
    </row>
    <row r="11" spans="1:4" x14ac:dyDescent="0.2">
      <c r="A11" s="4" t="s">
        <v>4</v>
      </c>
      <c r="B11" s="7">
        <f>B3*2%*1.05</f>
        <v>108150</v>
      </c>
      <c r="D11" s="3"/>
    </row>
    <row r="12" spans="1:4" x14ac:dyDescent="0.2">
      <c r="A12" s="4" t="s">
        <v>0</v>
      </c>
      <c r="B12" s="6">
        <v>4410</v>
      </c>
      <c r="D12" s="2"/>
    </row>
    <row r="13" spans="1:4" x14ac:dyDescent="0.2">
      <c r="A13" s="4" t="s">
        <v>1</v>
      </c>
      <c r="B13" s="7">
        <f>(B8*80%)*0.25%</f>
        <v>9900</v>
      </c>
    </row>
    <row r="14" spans="1:4" x14ac:dyDescent="0.2">
      <c r="A14" s="4" t="s">
        <v>2</v>
      </c>
      <c r="B14" s="7">
        <v>1050</v>
      </c>
    </row>
    <row r="15" spans="1:4" x14ac:dyDescent="0.2">
      <c r="A15" s="4" t="s">
        <v>12</v>
      </c>
      <c r="B15" s="7">
        <v>6000</v>
      </c>
    </row>
    <row r="16" spans="1:4" x14ac:dyDescent="0.2">
      <c r="A16" s="5" t="s">
        <v>13</v>
      </c>
      <c r="B16" s="8">
        <f>B5+B6+B7+B9+B10+B11+B12+B13+B14+B15</f>
        <v>1532655</v>
      </c>
    </row>
    <row r="17" spans="1:2" x14ac:dyDescent="0.2">
      <c r="A17" s="15"/>
      <c r="B17" s="15"/>
    </row>
    <row r="18" spans="1:2" x14ac:dyDescent="0.2">
      <c r="A18" s="14" t="s">
        <v>22</v>
      </c>
      <c r="B18" s="14"/>
    </row>
    <row r="19" spans="1:2" x14ac:dyDescent="0.2">
      <c r="A19" s="4" t="s">
        <v>14</v>
      </c>
      <c r="B19" s="6">
        <v>70000</v>
      </c>
    </row>
    <row r="20" spans="1:2" x14ac:dyDescent="0.2">
      <c r="A20" s="4" t="s">
        <v>15</v>
      </c>
      <c r="B20" s="6">
        <v>50000</v>
      </c>
    </row>
    <row r="21" spans="1:2" x14ac:dyDescent="0.2">
      <c r="A21" s="4" t="s">
        <v>19</v>
      </c>
      <c r="B21" s="6">
        <v>135000</v>
      </c>
    </row>
    <row r="22" spans="1:2" x14ac:dyDescent="0.2">
      <c r="A22" s="4" t="s">
        <v>20</v>
      </c>
      <c r="B22" s="6">
        <v>15000</v>
      </c>
    </row>
    <row r="23" spans="1:2" x14ac:dyDescent="0.2">
      <c r="A23" s="4" t="s">
        <v>16</v>
      </c>
      <c r="B23" s="6">
        <v>50000</v>
      </c>
    </row>
    <row r="24" spans="1:2" x14ac:dyDescent="0.2">
      <c r="A24" s="4" t="s">
        <v>17</v>
      </c>
      <c r="B24" s="6">
        <v>15000</v>
      </c>
    </row>
    <row r="25" spans="1:2" x14ac:dyDescent="0.2">
      <c r="A25" s="4" t="s">
        <v>18</v>
      </c>
      <c r="B25" s="6">
        <v>50000</v>
      </c>
    </row>
    <row r="26" spans="1:2" x14ac:dyDescent="0.2">
      <c r="A26" s="5" t="s">
        <v>24</v>
      </c>
      <c r="B26" s="6">
        <f>SUM(B19:B25)</f>
        <v>385000</v>
      </c>
    </row>
    <row r="27" spans="1:2" x14ac:dyDescent="0.2">
      <c r="A27" s="15"/>
      <c r="B27" s="15"/>
    </row>
    <row r="28" spans="1:2" x14ac:dyDescent="0.2">
      <c r="A28" s="14" t="s">
        <v>21</v>
      </c>
      <c r="B28" s="14"/>
    </row>
    <row r="29" spans="1:2" x14ac:dyDescent="0.2">
      <c r="A29" s="11" t="s">
        <v>29</v>
      </c>
      <c r="B29" s="13">
        <f>B3+B7+B9+B10+B11+B12+B13+B14+B15+B26</f>
        <v>5877655</v>
      </c>
    </row>
    <row r="30" spans="1:2" x14ac:dyDescent="0.2">
      <c r="A30" s="12" t="s">
        <v>27</v>
      </c>
      <c r="B30" s="12" t="s">
        <v>28</v>
      </c>
    </row>
    <row r="31" spans="1:2" x14ac:dyDescent="0.2">
      <c r="A31" s="9">
        <v>6000000</v>
      </c>
      <c r="B31" s="10">
        <f>A31-B29</f>
        <v>122345</v>
      </c>
    </row>
    <row r="32" spans="1:2" x14ac:dyDescent="0.2">
      <c r="A32" s="9">
        <v>6100000</v>
      </c>
      <c r="B32" s="10">
        <f>A32-B29</f>
        <v>222345</v>
      </c>
    </row>
    <row r="33" spans="1:2" x14ac:dyDescent="0.2">
      <c r="A33" s="9">
        <v>6200000</v>
      </c>
      <c r="B33" s="10">
        <f>A33-B29</f>
        <v>322345</v>
      </c>
    </row>
    <row r="34" spans="1:2" x14ac:dyDescent="0.2">
      <c r="A34" s="9">
        <v>6300000</v>
      </c>
      <c r="B34" s="10">
        <f>A34-$B$29</f>
        <v>422345</v>
      </c>
    </row>
    <row r="35" spans="1:2" x14ac:dyDescent="0.2">
      <c r="A35" s="9">
        <v>6400000</v>
      </c>
      <c r="B35" s="10">
        <f t="shared" ref="B35:B38" si="0">A35-$B$29</f>
        <v>522345</v>
      </c>
    </row>
    <row r="36" spans="1:2" x14ac:dyDescent="0.2">
      <c r="A36" s="9">
        <v>6500000</v>
      </c>
      <c r="B36" s="10">
        <f t="shared" si="0"/>
        <v>622345</v>
      </c>
    </row>
    <row r="37" spans="1:2" x14ac:dyDescent="0.2">
      <c r="A37" s="9">
        <v>6600000</v>
      </c>
      <c r="B37" s="10">
        <f t="shared" si="0"/>
        <v>722345</v>
      </c>
    </row>
    <row r="38" spans="1:2" x14ac:dyDescent="0.2">
      <c r="A38" s="9">
        <v>6700000</v>
      </c>
      <c r="B38" s="10">
        <f t="shared" si="0"/>
        <v>822345</v>
      </c>
    </row>
  </sheetData>
  <mergeCells count="5">
    <mergeCell ref="A2:B2"/>
    <mergeCell ref="A17:B17"/>
    <mergeCell ref="A18:B18"/>
    <mergeCell ref="A27:B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Ajam, Walid</dc:creator>
  <cp:lastModifiedBy>Ajam, Walid</cp:lastModifiedBy>
  <dcterms:created xsi:type="dcterms:W3CDTF">2026-03-10T09:43:25Z</dcterms:created>
  <dcterms:modified xsi:type="dcterms:W3CDTF">2026-03-11T10:41:29Z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2026-03-10T13:05:42Z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4a60ea6e-3d50-4f4f-a5ac-0c1155cd9155</vt:lpwstr>
  </property>
  <property fmtid="{D5CDD505-2E9C-101B-9397-08002B2CF9AE}" pid="8" name="MSIP_Label_bffa3880-44e8-458b-8d4d-5acc5ed3d728_ContentBits">
    <vt:lpwstr>0</vt:lpwstr>
  </property>
  <property fmtid="{D5CDD505-2E9C-101B-9397-08002B2CF9AE}" pid="9" name="MSIP_Label_bffa3880-44e8-458b-8d4d-5acc5ed3d728_Tag">
    <vt:lpwstr>50, 3, 0, 1</vt:lpwstr>
  </property>
</Properties>
</file>